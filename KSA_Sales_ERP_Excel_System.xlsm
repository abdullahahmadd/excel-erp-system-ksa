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742AC399-B485-43F7-9DC5-F5FCA5A27BC8}" xr6:coauthVersionLast="47" xr6:coauthVersionMax="47" xr10:uidLastSave="{00000000-0000-0000-0000-000000000000}"/>
  <bookViews>
    <workbookView xWindow="-120" yWindow="-120" windowWidth="20730" windowHeight="11040" activeTab="3" xr2:uid="{5466EAD9-9290-4779-9E14-00DF42D0C534}"/>
  </bookViews>
  <sheets>
    <sheet name="Products_Master" sheetId="1" r:id="rId1"/>
    <sheet name="Customers" sheetId="2" r:id="rId2"/>
    <sheet name="Sales_Orders" sheetId="3" r:id="rId3"/>
    <sheet name="Invoices" sheetId="4" r:id="rId4"/>
    <sheet name="Invoice_Template" sheetId="5" r:id="rId5"/>
  </sheets>
  <definedNames>
    <definedName name="_xlnm.Print_Area" localSheetId="4">Invoice_Template!$B$1:$F$37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5" l="1"/>
  <c r="F29" i="5" s="1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30" i="5" l="1"/>
  <c r="F31" i="5" s="1"/>
</calcChain>
</file>

<file path=xl/sharedStrings.xml><?xml version="1.0" encoding="utf-8"?>
<sst xmlns="http://schemas.openxmlformats.org/spreadsheetml/2006/main" count="396" uniqueCount="215">
  <si>
    <t>Product_ID</t>
  </si>
  <si>
    <t>Product_Name</t>
  </si>
  <si>
    <t>Category</t>
  </si>
  <si>
    <t>Cost_Price</t>
  </si>
  <si>
    <t>Selling_Price</t>
  </si>
  <si>
    <t>Initial_Stock</t>
  </si>
  <si>
    <t>P001</t>
  </si>
  <si>
    <t>iPhone 13</t>
  </si>
  <si>
    <t>Mobile</t>
  </si>
  <si>
    <t>Customer_ID</t>
  </si>
  <si>
    <t>Customer_Name</t>
  </si>
  <si>
    <t>Phone</t>
  </si>
  <si>
    <t>City</t>
  </si>
  <si>
    <t>C001</t>
  </si>
  <si>
    <t>Ahmed Ali</t>
  </si>
  <si>
    <t>Jeddah</t>
  </si>
  <si>
    <t>Order_ID</t>
  </si>
  <si>
    <t>Date</t>
  </si>
  <si>
    <t>Quantity</t>
  </si>
  <si>
    <t>Unit_Price</t>
  </si>
  <si>
    <t>Total</t>
  </si>
  <si>
    <t>P002</t>
  </si>
  <si>
    <t>P003</t>
  </si>
  <si>
    <t>P004</t>
  </si>
  <si>
    <t>P005</t>
  </si>
  <si>
    <t>Laptop</t>
  </si>
  <si>
    <t>P006</t>
  </si>
  <si>
    <t>P007</t>
  </si>
  <si>
    <t>P008</t>
  </si>
  <si>
    <t>Accessories</t>
  </si>
  <si>
    <t>P009</t>
  </si>
  <si>
    <t>P010</t>
  </si>
  <si>
    <t>P011</t>
  </si>
  <si>
    <t>P012</t>
  </si>
  <si>
    <t>Electronics</t>
  </si>
  <si>
    <t>P013</t>
  </si>
  <si>
    <t>P014</t>
  </si>
  <si>
    <t>P015</t>
  </si>
  <si>
    <t>Refrigerator</t>
  </si>
  <si>
    <t>P016</t>
  </si>
  <si>
    <t>P017</t>
  </si>
  <si>
    <t>Blender</t>
  </si>
  <si>
    <t>P018</t>
  </si>
  <si>
    <t>P019</t>
  </si>
  <si>
    <t>Furniture</t>
  </si>
  <si>
    <t>P020</t>
  </si>
  <si>
    <t>P021</t>
  </si>
  <si>
    <t>P022</t>
  </si>
  <si>
    <t>P023</t>
  </si>
  <si>
    <t>P024</t>
  </si>
  <si>
    <t>P025</t>
  </si>
  <si>
    <t>P026</t>
  </si>
  <si>
    <t>P027</t>
  </si>
  <si>
    <t>P028</t>
  </si>
  <si>
    <t>P029</t>
  </si>
  <si>
    <t>P030</t>
  </si>
  <si>
    <t>iPhone 14</t>
  </si>
  <si>
    <t>Samsung S22</t>
  </si>
  <si>
    <t>Redmi Note 12</t>
  </si>
  <si>
    <t>HP Laptop i5</t>
  </si>
  <si>
    <t>Dell Laptop i7</t>
  </si>
  <si>
    <t>Lenovo ThinkPad</t>
  </si>
  <si>
    <t>AirPods Pro</t>
  </si>
  <si>
    <t>Samsung Buds</t>
  </si>
  <si>
    <t>Logitech Mouse</t>
  </si>
  <si>
    <t>Mechanical Keyboard</t>
  </si>
  <si>
    <t>55 LED TV</t>
  </si>
  <si>
    <t>65 Smart TV</t>
  </si>
  <si>
    <t>Washing Machine</t>
  </si>
  <si>
    <t>Microwave Oven</t>
  </si>
  <si>
    <t>Home Appliance</t>
  </si>
  <si>
    <t>Electric Kettle</t>
  </si>
  <si>
    <t>Office Chair</t>
  </si>
  <si>
    <t>Study Table</t>
  </si>
  <si>
    <t>iPhone 13 Pro</t>
  </si>
  <si>
    <t>iPhone 14 Pro</t>
  </si>
  <si>
    <t>Samsung S23</t>
  </si>
  <si>
    <t>Redmi Note 13</t>
  </si>
  <si>
    <t>HP Laptop i7</t>
  </si>
  <si>
    <t>Dell Laptop i5</t>
  </si>
  <si>
    <t>Lenovo IdeaPad</t>
  </si>
  <si>
    <t>AirPods 2</t>
  </si>
  <si>
    <t>JBL Headphones</t>
  </si>
  <si>
    <t>Wireless Mouse</t>
  </si>
  <si>
    <t>C002</t>
  </si>
  <si>
    <t>Mohammed Khan</t>
  </si>
  <si>
    <t>Makkah</t>
  </si>
  <si>
    <t>C003</t>
  </si>
  <si>
    <t>Faisal Ahmed</t>
  </si>
  <si>
    <t>Riyadh</t>
  </si>
  <si>
    <t>C004</t>
  </si>
  <si>
    <t>Abdullah Noor</t>
  </si>
  <si>
    <t>Dammam</t>
  </si>
  <si>
    <t>C005</t>
  </si>
  <si>
    <t>Saad Hassan</t>
  </si>
  <si>
    <t>C006</t>
  </si>
  <si>
    <t>Ali Raza</t>
  </si>
  <si>
    <t>Madinah</t>
  </si>
  <si>
    <t>C007</t>
  </si>
  <si>
    <t>Omar Farooq</t>
  </si>
  <si>
    <t>C008</t>
  </si>
  <si>
    <t>Bilal Tariq</t>
  </si>
  <si>
    <t>Taif</t>
  </si>
  <si>
    <t>C009</t>
  </si>
  <si>
    <t>Hamza Malik</t>
  </si>
  <si>
    <t>C010</t>
  </si>
  <si>
    <t>Hassan Ali</t>
  </si>
  <si>
    <t>C011</t>
  </si>
  <si>
    <t>Usman Khalid</t>
  </si>
  <si>
    <t>C012</t>
  </si>
  <si>
    <t>Imran Sheikh</t>
  </si>
  <si>
    <t>C013</t>
  </si>
  <si>
    <t>Zain Abbas</t>
  </si>
  <si>
    <t>C014</t>
  </si>
  <si>
    <t>Talha Saeed</t>
  </si>
  <si>
    <t>C015</t>
  </si>
  <si>
    <t>Noman Iqbal</t>
  </si>
  <si>
    <t>C016</t>
  </si>
  <si>
    <t>Danish Khan</t>
  </si>
  <si>
    <t>C017</t>
  </si>
  <si>
    <t>Shahzaib Ali</t>
  </si>
  <si>
    <t>C018</t>
  </si>
  <si>
    <t>Adnan Malik</t>
  </si>
  <si>
    <t>C019</t>
  </si>
  <si>
    <t>Salman Ahmed</t>
  </si>
  <si>
    <t>C020</t>
  </si>
  <si>
    <t>Yasir Hussain</t>
  </si>
  <si>
    <t>SO001</t>
  </si>
  <si>
    <t>SO002</t>
  </si>
  <si>
    <t>SO003</t>
  </si>
  <si>
    <t>SO004</t>
  </si>
  <si>
    <t>SO005</t>
  </si>
  <si>
    <t>SO006</t>
  </si>
  <si>
    <t>SO007</t>
  </si>
  <si>
    <t>SO008</t>
  </si>
  <si>
    <t>SO009</t>
  </si>
  <si>
    <t>SO010</t>
  </si>
  <si>
    <t>SO011</t>
  </si>
  <si>
    <t>SO012</t>
  </si>
  <si>
    <t>SO013</t>
  </si>
  <si>
    <t>SO014</t>
  </si>
  <si>
    <t>SO015</t>
  </si>
  <si>
    <t>SO016</t>
  </si>
  <si>
    <t>SO017</t>
  </si>
  <si>
    <t>SO018</t>
  </si>
  <si>
    <t>SO019</t>
  </si>
  <si>
    <t>SO020</t>
  </si>
  <si>
    <t>SO021</t>
  </si>
  <si>
    <t>SO022</t>
  </si>
  <si>
    <t>SO023</t>
  </si>
  <si>
    <t>SO024</t>
  </si>
  <si>
    <t>SO025</t>
  </si>
  <si>
    <t>13-01-2026</t>
  </si>
  <si>
    <t>SO026</t>
  </si>
  <si>
    <t>SO027</t>
  </si>
  <si>
    <t>14-01-2026</t>
  </si>
  <si>
    <t>SO028</t>
  </si>
  <si>
    <t>SO029</t>
  </si>
  <si>
    <t>15-01-2026</t>
  </si>
  <si>
    <t>SO030</t>
  </si>
  <si>
    <t>SO031</t>
  </si>
  <si>
    <t>16-01-2026</t>
  </si>
  <si>
    <t>SO032</t>
  </si>
  <si>
    <t>SO033</t>
  </si>
  <si>
    <t>17-01-2026</t>
  </si>
  <si>
    <t>SO034</t>
  </si>
  <si>
    <t>SO035</t>
  </si>
  <si>
    <t>18-01-2026</t>
  </si>
  <si>
    <t>SO036</t>
  </si>
  <si>
    <t>SO037</t>
  </si>
  <si>
    <t>19-01-2026</t>
  </si>
  <si>
    <t>SO038</t>
  </si>
  <si>
    <t>SO039</t>
  </si>
  <si>
    <t>20-01-2026</t>
  </si>
  <si>
    <t>SO040</t>
  </si>
  <si>
    <t>SO041</t>
  </si>
  <si>
    <t>21-01-2026</t>
  </si>
  <si>
    <t>SO042</t>
  </si>
  <si>
    <t>SO043</t>
  </si>
  <si>
    <t>22-01-2026</t>
  </si>
  <si>
    <t>SO044</t>
  </si>
  <si>
    <t>SO045</t>
  </si>
  <si>
    <t>23-01-2026</t>
  </si>
  <si>
    <t>SO046</t>
  </si>
  <si>
    <t>SO047</t>
  </si>
  <si>
    <t>24-01-2026</t>
  </si>
  <si>
    <t>SO048</t>
  </si>
  <si>
    <t>SO049</t>
  </si>
  <si>
    <t>25-01-2026</t>
  </si>
  <si>
    <t>SO050</t>
  </si>
  <si>
    <t>Abdullah Ahmad Co.</t>
  </si>
  <si>
    <t>Professional Business Solutions</t>
  </si>
  <si>
    <t>INVOICE</t>
  </si>
  <si>
    <t>Company Name:</t>
  </si>
  <si>
    <t>Address:</t>
  </si>
  <si>
    <t>Jeddah, Saudi Arabia</t>
  </si>
  <si>
    <t>Phone:</t>
  </si>
  <si>
    <t>Email:</t>
  </si>
  <si>
    <t>info@company.com</t>
  </si>
  <si>
    <t>VAT No.</t>
  </si>
  <si>
    <t>Invoice #:</t>
  </si>
  <si>
    <t>Date:</t>
  </si>
  <si>
    <t>Status:</t>
  </si>
  <si>
    <t>BILL TO:</t>
  </si>
  <si>
    <t>Customer Name:</t>
  </si>
  <si>
    <t>Customer ID:</t>
  </si>
  <si>
    <t>Item No.</t>
  </si>
  <si>
    <t>Description</t>
  </si>
  <si>
    <t>Unit Price (SAR)</t>
  </si>
  <si>
    <t>Amount (SAR)</t>
  </si>
  <si>
    <t>Subtotal (SAR):</t>
  </si>
  <si>
    <t>VAT (15%):</t>
  </si>
  <si>
    <t>TOTAL (SAR):</t>
  </si>
  <si>
    <t xml:space="preserve">VAT (15%) </t>
  </si>
  <si>
    <t>Sub_Total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</si>
</sst>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15" x14ac:knownFonts="1"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0"/>
      <color rgb="FF000000"/>
      <name val="Aptos Narrow"/>
      <family val="2"/>
    </font>
    <font>
      <b/>
      <sz val="16"/>
      <color theme="1"/>
      <name val="Arial"/>
      <family val="2"/>
    </font>
    <font>
      <sz val="9"/>
      <color rgb="FF121212"/>
      <name val="Courier New"/>
      <family val="3"/>
    </font>
    <font>
      <i/>
      <sz val="10"/>
      <color theme="1" tint="0.249977111117893"/>
      <name val="Arial"/>
      <family val="2"/>
    </font>
    <font>
      <sz val="9"/>
      <color rgb="FF121212"/>
      <name val="Arial"/>
      <family val="2"/>
    </font>
    <font>
      <b/>
      <sz val="14"/>
      <color theme="1" tint="0.249977111117893"/>
      <name val="Arial"/>
      <family val="2"/>
    </font>
    <font>
      <u/>
      <sz val="11"/>
      <color theme="10"/>
      <name val="Aptos Narrow"/>
      <family val="2"/>
      <scheme val="minor"/>
    </font>
    <font>
      <b/>
      <sz val="9"/>
      <color rgb="FFFF0000"/>
      <name val="Arial"/>
      <family val="2"/>
    </font>
    <font>
      <sz val="9"/>
      <color theme="1"/>
      <name val="Aptos Narrow"/>
      <family val="2"/>
      <scheme val="minor"/>
    </font>
    <font>
      <b/>
      <sz val="10"/>
      <color rgb="FF121212"/>
      <name val="Arial"/>
      <family val="2"/>
    </font>
    <font>
      <b/>
      <sz val="9"/>
      <color theme="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6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0" fillId="3" borderId="0" xfId="0" applyFill="1"/>
    <xf numFmtId="0" fontId="3" fillId="4" borderId="0" xfId="0" applyFont="1" applyFill="1"/>
    <xf numFmtId="0" fontId="0" fillId="4" borderId="0" xfId="0" applyFill="1"/>
    <xf numFmtId="0" fontId="5" fillId="0" borderId="0" xfId="0" applyFont="1"/>
    <xf numFmtId="0" fontId="7" fillId="0" borderId="0" xfId="0" applyFont="1"/>
    <xf numFmtId="0" fontId="6" fillId="0" borderId="0" xfId="0" applyFont="1"/>
    <xf numFmtId="0" fontId="11" fillId="0" borderId="0" xfId="0" applyFont="1"/>
    <xf numFmtId="0" fontId="11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12" fillId="2" borderId="0" xfId="0" applyFont="1" applyFill="1" applyAlignment="1">
      <alignment horizontal="center"/>
    </xf>
    <xf numFmtId="0" fontId="12" fillId="2" borderId="0" xfId="0" applyFont="1" applyFill="1"/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2" fontId="6" fillId="0" borderId="1" xfId="0" applyNumberFormat="1" applyFont="1" applyBorder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8" fillId="0" borderId="0" xfId="1" applyAlignment="1">
      <alignment horizontal="left"/>
    </xf>
    <xf numFmtId="1" fontId="4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164" fontId="6" fillId="0" borderId="0" xfId="0" applyNumberFormat="1" applyFont="1" applyAlignment="1">
      <alignment horizontal="left"/>
    </xf>
    <xf numFmtId="0" fontId="9" fillId="0" borderId="0" xfId="0" applyFont="1" applyAlignment="1">
      <alignment horizontal="left"/>
    </xf>
    <xf numFmtId="0" fontId="13" fillId="0" borderId="0" xfId="0" applyFont="1"/>
    <xf numFmtId="0" fontId="11" fillId="0" borderId="0" xfId="0" applyFont="1" applyAlignment="1">
      <alignment horizontal="right"/>
    </xf>
    <xf numFmtId="0" fontId="14" fillId="2" borderId="1" xfId="0" applyFont="1" applyFill="1" applyBorder="1" applyAlignment="1">
      <alignment horizontal="right"/>
    </xf>
    <xf numFmtId="2" fontId="14" fillId="2" borderId="1" xfId="0" applyNumberFormat="1" applyFont="1" applyFill="1" applyBorder="1"/>
    <xf numFmtId="0" fontId="13" fillId="0" borderId="0" xfId="0" applyFont="1" applyAlignment="1">
      <alignment horizontal="right"/>
    </xf>
    <xf numFmtId="2" fontId="13" fillId="0" borderId="2" xfId="0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23"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1219200</xdr:colOff>
          <xdr:row>0</xdr:row>
          <xdr:rowOff>47625</xdr:rowOff>
        </xdr:from>
        <xdr:to>
          <xdr:col>7</xdr:col>
          <xdr:colOff>0</xdr:colOff>
          <xdr:row>0</xdr:row>
          <xdr:rowOff>552450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/>
                </a:rPr>
                <a:t>Invoice Creation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7BC2BD-D783-4912-9BE1-067A3B9610E6}" name="tbl_products" displayName="tbl_products" ref="A1:F31" totalsRowShown="0" headerRowDxfId="14" dataDxfId="13">
  <tableColumns count="6">
    <tableColumn id="1" xr3:uid="{3DDAFD8B-C71C-448E-908E-D7743618344E}" name="Product_ID" dataDxfId="20"/>
    <tableColumn id="2" xr3:uid="{F946AE55-F1B4-41E8-BFDF-BF171F9E5848}" name="Product_Name" dataDxfId="19"/>
    <tableColumn id="3" xr3:uid="{F067DE0B-FBEA-493C-ABEB-A5C383934B41}" name="Category" dataDxfId="18"/>
    <tableColumn id="4" xr3:uid="{583EA60C-A8F3-47D9-9802-480BB0B7FB9D}" name="Cost_Price" dataDxfId="17"/>
    <tableColumn id="5" xr3:uid="{4C677138-0ACD-4EC6-9BDF-27DA41EF3C6B}" name="Selling_Price" dataDxfId="16"/>
    <tableColumn id="6" xr3:uid="{D5500A3B-02E5-45F6-A310-088A34433378}" name="Initial_Stock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289237-72F0-4CE8-BB64-BCE7923BF2C9}" name="tbl_customers" displayName="tbl_customers" ref="A1:D21" totalsRowShown="0" headerRowDxfId="22" dataDxfId="8">
  <tableColumns count="4">
    <tableColumn id="1" xr3:uid="{47325A3A-13A9-4565-8C5D-B92EA776B6AB}" name="Customer_ID" dataDxfId="12"/>
    <tableColumn id="2" xr3:uid="{33B9D319-B665-4D60-AEC8-80044A59294C}" name="Customer_Name" dataDxfId="11"/>
    <tableColumn id="3" xr3:uid="{F3D92AA1-C15C-4644-BF5A-EBFB7B30F12D}" name="Phone" dataDxfId="10"/>
    <tableColumn id="4" xr3:uid="{B9D8B03D-06E1-48B4-8043-83E296FD4081}" name="City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EB64F8-3A01-40E0-9EC5-4330610DAE2C}" name="Table5" displayName="Table5" ref="A1:G51" totalsRowShown="0" headerRowDxfId="21" dataDxfId="0">
  <tableColumns count="7">
    <tableColumn id="1" xr3:uid="{AF48B1EC-E36D-4348-A7BA-1F2C26A9733B}" name="Order_ID" dataDxfId="7"/>
    <tableColumn id="2" xr3:uid="{D45F1184-05F3-4889-82E1-71DD89C52C26}" name="Date" dataDxfId="6"/>
    <tableColumn id="3" xr3:uid="{B461010B-1326-4629-8D08-73F436BDF329}" name="Customer_ID" dataDxfId="5"/>
    <tableColumn id="4" xr3:uid="{88C2850B-7288-4578-9027-C06D36A2D045}" name="Product_ID" dataDxfId="4"/>
    <tableColumn id="5" xr3:uid="{E5DEB9BD-2D26-4E97-814B-60A8C99747DB}" name="Quantity" dataDxfId="3"/>
    <tableColumn id="6" xr3:uid="{43994896-FC7E-4A9E-931F-D3AA776FC55F}" name="Unit_Price" dataDxfId="2">
      <calculatedColumnFormula>_xlfn.XLOOKUP(D2, Products_Master!A:A, Products_Master!E:E)</calculatedColumnFormula>
    </tableColumn>
    <tableColumn id="7" xr3:uid="{BDAE7CD7-5BB7-441B-BF59-E3780B63FBA3}" name="Total" dataDxfId="1">
      <calculatedColumnFormula>E2*F2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company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97981-706F-432F-94A2-5BDA97A3F1E9}">
  <sheetPr codeName="Sheet1"/>
  <dimension ref="A1:F31"/>
  <sheetViews>
    <sheetView workbookViewId="0">
      <selection activeCell="H6" sqref="H6"/>
    </sheetView>
  </sheetViews>
  <sheetFormatPr defaultRowHeight="15" x14ac:dyDescent="0.25"/>
  <cols>
    <col min="1" max="1" width="16.42578125" customWidth="1"/>
    <col min="2" max="2" width="19.5703125" customWidth="1"/>
    <col min="3" max="3" width="13.85546875" customWidth="1"/>
    <col min="4" max="4" width="17.7109375" customWidth="1"/>
    <col min="5" max="5" width="17.140625" customWidth="1"/>
    <col min="6" max="6" width="17" customWidth="1"/>
  </cols>
  <sheetData>
    <row r="1" spans="1:6" ht="15.75" x14ac:dyDescent="0.25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5" t="s">
        <v>5</v>
      </c>
    </row>
    <row r="2" spans="1:6" x14ac:dyDescent="0.25">
      <c r="A2" s="33" t="s">
        <v>6</v>
      </c>
      <c r="B2" s="33" t="s">
        <v>7</v>
      </c>
      <c r="C2" s="33" t="s">
        <v>8</v>
      </c>
      <c r="D2" s="33">
        <v>2500</v>
      </c>
      <c r="E2" s="33">
        <v>3000</v>
      </c>
      <c r="F2" s="33">
        <v>15</v>
      </c>
    </row>
    <row r="3" spans="1:6" x14ac:dyDescent="0.25">
      <c r="A3" s="33" t="s">
        <v>21</v>
      </c>
      <c r="B3" s="33" t="s">
        <v>56</v>
      </c>
      <c r="C3" s="33" t="s">
        <v>8</v>
      </c>
      <c r="D3" s="33">
        <v>3000</v>
      </c>
      <c r="E3" s="33">
        <v>3600</v>
      </c>
      <c r="F3" s="33">
        <v>12</v>
      </c>
    </row>
    <row r="4" spans="1:6" x14ac:dyDescent="0.25">
      <c r="A4" s="33" t="s">
        <v>22</v>
      </c>
      <c r="B4" s="33" t="s">
        <v>57</v>
      </c>
      <c r="C4" s="33" t="s">
        <v>8</v>
      </c>
      <c r="D4" s="33">
        <v>2200</v>
      </c>
      <c r="E4" s="33">
        <v>2800</v>
      </c>
      <c r="F4" s="33">
        <v>18</v>
      </c>
    </row>
    <row r="5" spans="1:6" x14ac:dyDescent="0.25">
      <c r="A5" s="33" t="s">
        <v>23</v>
      </c>
      <c r="B5" s="33" t="s">
        <v>58</v>
      </c>
      <c r="C5" s="33" t="s">
        <v>8</v>
      </c>
      <c r="D5" s="33">
        <v>800</v>
      </c>
      <c r="E5" s="33">
        <v>1100</v>
      </c>
      <c r="F5" s="33">
        <v>25</v>
      </c>
    </row>
    <row r="6" spans="1:6" x14ac:dyDescent="0.25">
      <c r="A6" s="33" t="s">
        <v>24</v>
      </c>
      <c r="B6" s="33" t="s">
        <v>59</v>
      </c>
      <c r="C6" s="33" t="s">
        <v>25</v>
      </c>
      <c r="D6" s="33">
        <v>2200</v>
      </c>
      <c r="E6" s="33">
        <v>2700</v>
      </c>
      <c r="F6" s="33">
        <v>10</v>
      </c>
    </row>
    <row r="7" spans="1:6" x14ac:dyDescent="0.25">
      <c r="A7" s="33" t="s">
        <v>26</v>
      </c>
      <c r="B7" s="33" t="s">
        <v>60</v>
      </c>
      <c r="C7" s="33" t="s">
        <v>25</v>
      </c>
      <c r="D7" s="33">
        <v>3200</v>
      </c>
      <c r="E7" s="33">
        <v>3800</v>
      </c>
      <c r="F7" s="33">
        <v>8</v>
      </c>
    </row>
    <row r="8" spans="1:6" x14ac:dyDescent="0.25">
      <c r="A8" s="33" t="s">
        <v>27</v>
      </c>
      <c r="B8" s="33" t="s">
        <v>61</v>
      </c>
      <c r="C8" s="33" t="s">
        <v>25</v>
      </c>
      <c r="D8" s="33">
        <v>2800</v>
      </c>
      <c r="E8" s="33">
        <v>3400</v>
      </c>
      <c r="F8" s="33">
        <v>9</v>
      </c>
    </row>
    <row r="9" spans="1:6" x14ac:dyDescent="0.25">
      <c r="A9" s="33" t="s">
        <v>28</v>
      </c>
      <c r="B9" s="33" t="s">
        <v>62</v>
      </c>
      <c r="C9" s="33" t="s">
        <v>29</v>
      </c>
      <c r="D9" s="33">
        <v>600</v>
      </c>
      <c r="E9" s="33">
        <v>850</v>
      </c>
      <c r="F9" s="33">
        <v>30</v>
      </c>
    </row>
    <row r="10" spans="1:6" x14ac:dyDescent="0.25">
      <c r="A10" s="33" t="s">
        <v>30</v>
      </c>
      <c r="B10" s="33" t="s">
        <v>63</v>
      </c>
      <c r="C10" s="33" t="s">
        <v>29</v>
      </c>
      <c r="D10" s="33">
        <v>400</v>
      </c>
      <c r="E10" s="33">
        <v>650</v>
      </c>
      <c r="F10" s="33">
        <v>28</v>
      </c>
    </row>
    <row r="11" spans="1:6" x14ac:dyDescent="0.25">
      <c r="A11" s="33" t="s">
        <v>31</v>
      </c>
      <c r="B11" s="33" t="s">
        <v>64</v>
      </c>
      <c r="C11" s="33" t="s">
        <v>29</v>
      </c>
      <c r="D11" s="33">
        <v>50</v>
      </c>
      <c r="E11" s="33">
        <v>120</v>
      </c>
      <c r="F11" s="33">
        <v>50</v>
      </c>
    </row>
    <row r="12" spans="1:6" x14ac:dyDescent="0.25">
      <c r="A12" s="33" t="s">
        <v>32</v>
      </c>
      <c r="B12" s="33" t="s">
        <v>65</v>
      </c>
      <c r="C12" s="33" t="s">
        <v>29</v>
      </c>
      <c r="D12" s="33">
        <v>150</v>
      </c>
      <c r="E12" s="33">
        <v>300</v>
      </c>
      <c r="F12" s="33">
        <v>35</v>
      </c>
    </row>
    <row r="13" spans="1:6" x14ac:dyDescent="0.25">
      <c r="A13" s="33" t="s">
        <v>33</v>
      </c>
      <c r="B13" s="33" t="s">
        <v>66</v>
      </c>
      <c r="C13" s="33" t="s">
        <v>34</v>
      </c>
      <c r="D13" s="33">
        <v>1800</v>
      </c>
      <c r="E13" s="33">
        <v>2400</v>
      </c>
      <c r="F13" s="33">
        <v>7</v>
      </c>
    </row>
    <row r="14" spans="1:6" x14ac:dyDescent="0.25">
      <c r="A14" s="33" t="s">
        <v>35</v>
      </c>
      <c r="B14" s="33" t="s">
        <v>67</v>
      </c>
      <c r="C14" s="33" t="s">
        <v>34</v>
      </c>
      <c r="D14" s="33">
        <v>2800</v>
      </c>
      <c r="E14" s="33">
        <v>3500</v>
      </c>
      <c r="F14" s="33">
        <v>5</v>
      </c>
    </row>
    <row r="15" spans="1:6" x14ac:dyDescent="0.25">
      <c r="A15" s="33" t="s">
        <v>36</v>
      </c>
      <c r="B15" s="33" t="s">
        <v>68</v>
      </c>
      <c r="C15" s="33" t="s">
        <v>34</v>
      </c>
      <c r="D15" s="33">
        <v>1500</v>
      </c>
      <c r="E15" s="33">
        <v>2100</v>
      </c>
      <c r="F15" s="33">
        <v>6</v>
      </c>
    </row>
    <row r="16" spans="1:6" x14ac:dyDescent="0.25">
      <c r="A16" s="33" t="s">
        <v>37</v>
      </c>
      <c r="B16" s="33" t="s">
        <v>38</v>
      </c>
      <c r="C16" s="33" t="s">
        <v>34</v>
      </c>
      <c r="D16" s="33">
        <v>2000</v>
      </c>
      <c r="E16" s="33">
        <v>2700</v>
      </c>
      <c r="F16" s="33">
        <v>6</v>
      </c>
    </row>
    <row r="17" spans="1:6" x14ac:dyDescent="0.25">
      <c r="A17" s="33" t="s">
        <v>39</v>
      </c>
      <c r="B17" s="33" t="s">
        <v>69</v>
      </c>
      <c r="C17" s="33" t="s">
        <v>34</v>
      </c>
      <c r="D17" s="33">
        <v>300</v>
      </c>
      <c r="E17" s="33">
        <v>550</v>
      </c>
      <c r="F17" s="33">
        <v>20</v>
      </c>
    </row>
    <row r="18" spans="1:6" x14ac:dyDescent="0.25">
      <c r="A18" s="33" t="s">
        <v>40</v>
      </c>
      <c r="B18" s="33" t="s">
        <v>41</v>
      </c>
      <c r="C18" s="33" t="s">
        <v>70</v>
      </c>
      <c r="D18" s="33">
        <v>120</v>
      </c>
      <c r="E18" s="33">
        <v>250</v>
      </c>
      <c r="F18" s="33">
        <v>40</v>
      </c>
    </row>
    <row r="19" spans="1:6" x14ac:dyDescent="0.25">
      <c r="A19" s="33" t="s">
        <v>42</v>
      </c>
      <c r="B19" s="33" t="s">
        <v>71</v>
      </c>
      <c r="C19" s="33" t="s">
        <v>70</v>
      </c>
      <c r="D19" s="33">
        <v>70</v>
      </c>
      <c r="E19" s="33">
        <v>150</v>
      </c>
      <c r="F19" s="33">
        <v>45</v>
      </c>
    </row>
    <row r="20" spans="1:6" x14ac:dyDescent="0.25">
      <c r="A20" s="33" t="s">
        <v>43</v>
      </c>
      <c r="B20" s="33" t="s">
        <v>72</v>
      </c>
      <c r="C20" s="33" t="s">
        <v>44</v>
      </c>
      <c r="D20" s="33">
        <v>250</v>
      </c>
      <c r="E20" s="33">
        <v>500</v>
      </c>
      <c r="F20" s="33">
        <v>20</v>
      </c>
    </row>
    <row r="21" spans="1:6" x14ac:dyDescent="0.25">
      <c r="A21" s="33" t="s">
        <v>45</v>
      </c>
      <c r="B21" s="33" t="s">
        <v>73</v>
      </c>
      <c r="C21" s="33" t="s">
        <v>44</v>
      </c>
      <c r="D21" s="33">
        <v>300</v>
      </c>
      <c r="E21" s="33">
        <v>650</v>
      </c>
      <c r="F21" s="33">
        <v>15</v>
      </c>
    </row>
    <row r="22" spans="1:6" x14ac:dyDescent="0.25">
      <c r="A22" s="33" t="s">
        <v>46</v>
      </c>
      <c r="B22" s="33" t="s">
        <v>74</v>
      </c>
      <c r="C22" s="33" t="s">
        <v>8</v>
      </c>
      <c r="D22" s="33">
        <v>2700</v>
      </c>
      <c r="E22" s="33">
        <v>3300</v>
      </c>
      <c r="F22" s="33">
        <v>14</v>
      </c>
    </row>
    <row r="23" spans="1:6" x14ac:dyDescent="0.25">
      <c r="A23" s="33" t="s">
        <v>47</v>
      </c>
      <c r="B23" s="33" t="s">
        <v>75</v>
      </c>
      <c r="C23" s="33" t="s">
        <v>8</v>
      </c>
      <c r="D23" s="33">
        <v>3300</v>
      </c>
      <c r="E23" s="33">
        <v>3900</v>
      </c>
      <c r="F23" s="33">
        <v>11</v>
      </c>
    </row>
    <row r="24" spans="1:6" x14ac:dyDescent="0.25">
      <c r="A24" s="33" t="s">
        <v>48</v>
      </c>
      <c r="B24" s="33" t="s">
        <v>76</v>
      </c>
      <c r="C24" s="33" t="s">
        <v>8</v>
      </c>
      <c r="D24" s="33">
        <v>2400</v>
      </c>
      <c r="E24" s="33">
        <v>3000</v>
      </c>
      <c r="F24" s="33">
        <v>16</v>
      </c>
    </row>
    <row r="25" spans="1:6" x14ac:dyDescent="0.25">
      <c r="A25" s="33" t="s">
        <v>49</v>
      </c>
      <c r="B25" s="33" t="s">
        <v>77</v>
      </c>
      <c r="C25" s="33" t="s">
        <v>8</v>
      </c>
      <c r="D25" s="33">
        <v>900</v>
      </c>
      <c r="E25" s="33">
        <v>1200</v>
      </c>
      <c r="F25" s="33">
        <v>22</v>
      </c>
    </row>
    <row r="26" spans="1:6" x14ac:dyDescent="0.25">
      <c r="A26" s="33" t="s">
        <v>50</v>
      </c>
      <c r="B26" s="33" t="s">
        <v>78</v>
      </c>
      <c r="C26" s="33" t="s">
        <v>25</v>
      </c>
      <c r="D26" s="33">
        <v>2600</v>
      </c>
      <c r="E26" s="33">
        <v>3200</v>
      </c>
      <c r="F26" s="33">
        <v>9</v>
      </c>
    </row>
    <row r="27" spans="1:6" x14ac:dyDescent="0.25">
      <c r="A27" s="33" t="s">
        <v>51</v>
      </c>
      <c r="B27" s="33" t="s">
        <v>79</v>
      </c>
      <c r="C27" s="33" t="s">
        <v>25</v>
      </c>
      <c r="D27" s="33">
        <v>2500</v>
      </c>
      <c r="E27" s="33">
        <v>3100</v>
      </c>
      <c r="F27" s="33">
        <v>10</v>
      </c>
    </row>
    <row r="28" spans="1:6" x14ac:dyDescent="0.25">
      <c r="A28" s="33" t="s">
        <v>52</v>
      </c>
      <c r="B28" s="33" t="s">
        <v>80</v>
      </c>
      <c r="C28" s="33" t="s">
        <v>25</v>
      </c>
      <c r="D28" s="33">
        <v>2300</v>
      </c>
      <c r="E28" s="33">
        <v>2900</v>
      </c>
      <c r="F28" s="33">
        <v>12</v>
      </c>
    </row>
    <row r="29" spans="1:6" x14ac:dyDescent="0.25">
      <c r="A29" s="33" t="s">
        <v>53</v>
      </c>
      <c r="B29" s="33" t="s">
        <v>81</v>
      </c>
      <c r="C29" s="33" t="s">
        <v>29</v>
      </c>
      <c r="D29" s="33">
        <v>450</v>
      </c>
      <c r="E29" s="33">
        <v>700</v>
      </c>
      <c r="F29" s="33">
        <v>32</v>
      </c>
    </row>
    <row r="30" spans="1:6" x14ac:dyDescent="0.25">
      <c r="A30" s="33" t="s">
        <v>54</v>
      </c>
      <c r="B30" s="33" t="s">
        <v>82</v>
      </c>
      <c r="C30" s="33" t="s">
        <v>29</v>
      </c>
      <c r="D30" s="33">
        <v>300</v>
      </c>
      <c r="E30" s="33">
        <v>550</v>
      </c>
      <c r="F30" s="33">
        <v>26</v>
      </c>
    </row>
    <row r="31" spans="1:6" x14ac:dyDescent="0.25">
      <c r="A31" s="33" t="s">
        <v>55</v>
      </c>
      <c r="B31" s="33" t="s">
        <v>83</v>
      </c>
      <c r="C31" s="33" t="s">
        <v>29</v>
      </c>
      <c r="D31" s="33">
        <v>40</v>
      </c>
      <c r="E31" s="33">
        <v>100</v>
      </c>
      <c r="F31" s="33">
        <v>60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4FCD0-A8C8-4A3C-B4D5-49CA0C6FA2FB}">
  <sheetPr codeName="Sheet2"/>
  <dimension ref="A1:D21"/>
  <sheetViews>
    <sheetView workbookViewId="0">
      <selection activeCell="C9" sqref="C9"/>
    </sheetView>
  </sheetViews>
  <sheetFormatPr defaultRowHeight="15" x14ac:dyDescent="0.25"/>
  <cols>
    <col min="1" max="1" width="16.140625" customWidth="1"/>
    <col min="2" max="2" width="19.42578125" customWidth="1"/>
    <col min="3" max="3" width="11.28515625" customWidth="1"/>
    <col min="4" max="4" width="11" customWidth="1"/>
  </cols>
  <sheetData>
    <row r="1" spans="1:4" ht="15.75" x14ac:dyDescent="0.25">
      <c r="A1" s="1" t="s">
        <v>9</v>
      </c>
      <c r="B1" s="1" t="s">
        <v>10</v>
      </c>
      <c r="C1" s="1" t="s">
        <v>11</v>
      </c>
      <c r="D1" s="1" t="s">
        <v>12</v>
      </c>
    </row>
    <row r="2" spans="1:4" x14ac:dyDescent="0.25">
      <c r="A2" s="33" t="s">
        <v>13</v>
      </c>
      <c r="B2" s="33" t="s">
        <v>14</v>
      </c>
      <c r="C2" s="33">
        <v>501234567</v>
      </c>
      <c r="D2" s="33" t="s">
        <v>15</v>
      </c>
    </row>
    <row r="3" spans="1:4" x14ac:dyDescent="0.25">
      <c r="A3" s="33" t="s">
        <v>84</v>
      </c>
      <c r="B3" s="33" t="s">
        <v>85</v>
      </c>
      <c r="C3" s="33">
        <v>502345678</v>
      </c>
      <c r="D3" s="33" t="s">
        <v>86</v>
      </c>
    </row>
    <row r="4" spans="1:4" x14ac:dyDescent="0.25">
      <c r="A4" s="33" t="s">
        <v>87</v>
      </c>
      <c r="B4" s="33" t="s">
        <v>88</v>
      </c>
      <c r="C4" s="33">
        <v>503456789</v>
      </c>
      <c r="D4" s="33" t="s">
        <v>89</v>
      </c>
    </row>
    <row r="5" spans="1:4" x14ac:dyDescent="0.25">
      <c r="A5" s="33" t="s">
        <v>90</v>
      </c>
      <c r="B5" s="33" t="s">
        <v>91</v>
      </c>
      <c r="C5" s="33">
        <v>504567890</v>
      </c>
      <c r="D5" s="33" t="s">
        <v>92</v>
      </c>
    </row>
    <row r="6" spans="1:4" x14ac:dyDescent="0.25">
      <c r="A6" s="33" t="s">
        <v>93</v>
      </c>
      <c r="B6" s="33" t="s">
        <v>94</v>
      </c>
      <c r="C6" s="33">
        <v>505678901</v>
      </c>
      <c r="D6" s="33" t="s">
        <v>15</v>
      </c>
    </row>
    <row r="7" spans="1:4" x14ac:dyDescent="0.25">
      <c r="A7" s="33" t="s">
        <v>95</v>
      </c>
      <c r="B7" s="33" t="s">
        <v>96</v>
      </c>
      <c r="C7" s="33">
        <v>506789012</v>
      </c>
      <c r="D7" s="33" t="s">
        <v>97</v>
      </c>
    </row>
    <row r="8" spans="1:4" x14ac:dyDescent="0.25">
      <c r="A8" s="33" t="s">
        <v>98</v>
      </c>
      <c r="B8" s="33" t="s">
        <v>99</v>
      </c>
      <c r="C8" s="33">
        <v>507890123</v>
      </c>
      <c r="D8" s="33" t="s">
        <v>15</v>
      </c>
    </row>
    <row r="9" spans="1:4" x14ac:dyDescent="0.25">
      <c r="A9" s="33" t="s">
        <v>100</v>
      </c>
      <c r="B9" s="33" t="s">
        <v>101</v>
      </c>
      <c r="C9" s="33">
        <v>508901234</v>
      </c>
      <c r="D9" s="33" t="s">
        <v>102</v>
      </c>
    </row>
    <row r="10" spans="1:4" x14ac:dyDescent="0.25">
      <c r="A10" s="33" t="s">
        <v>103</v>
      </c>
      <c r="B10" s="33" t="s">
        <v>104</v>
      </c>
      <c r="C10" s="33">
        <v>509012345</v>
      </c>
      <c r="D10" s="33" t="s">
        <v>89</v>
      </c>
    </row>
    <row r="11" spans="1:4" x14ac:dyDescent="0.25">
      <c r="A11" s="33" t="s">
        <v>105</v>
      </c>
      <c r="B11" s="33" t="s">
        <v>106</v>
      </c>
      <c r="C11" s="33">
        <v>510123456</v>
      </c>
      <c r="D11" s="33" t="s">
        <v>15</v>
      </c>
    </row>
    <row r="12" spans="1:4" x14ac:dyDescent="0.25">
      <c r="A12" s="33" t="s">
        <v>107</v>
      </c>
      <c r="B12" s="33" t="s">
        <v>108</v>
      </c>
      <c r="C12" s="33">
        <v>511234567</v>
      </c>
      <c r="D12" s="33" t="s">
        <v>86</v>
      </c>
    </row>
    <row r="13" spans="1:4" x14ac:dyDescent="0.25">
      <c r="A13" s="33" t="s">
        <v>109</v>
      </c>
      <c r="B13" s="33" t="s">
        <v>110</v>
      </c>
      <c r="C13" s="33">
        <v>512345678</v>
      </c>
      <c r="D13" s="33" t="s">
        <v>92</v>
      </c>
    </row>
    <row r="14" spans="1:4" x14ac:dyDescent="0.25">
      <c r="A14" s="33" t="s">
        <v>111</v>
      </c>
      <c r="B14" s="33" t="s">
        <v>112</v>
      </c>
      <c r="C14" s="33">
        <v>513456789</v>
      </c>
      <c r="D14" s="33" t="s">
        <v>15</v>
      </c>
    </row>
    <row r="15" spans="1:4" x14ac:dyDescent="0.25">
      <c r="A15" s="33" t="s">
        <v>113</v>
      </c>
      <c r="B15" s="33" t="s">
        <v>114</v>
      </c>
      <c r="C15" s="33">
        <v>514567890</v>
      </c>
      <c r="D15" s="33" t="s">
        <v>97</v>
      </c>
    </row>
    <row r="16" spans="1:4" x14ac:dyDescent="0.25">
      <c r="A16" s="33" t="s">
        <v>115</v>
      </c>
      <c r="B16" s="33" t="s">
        <v>116</v>
      </c>
      <c r="C16" s="33">
        <v>515678901</v>
      </c>
      <c r="D16" s="33" t="s">
        <v>89</v>
      </c>
    </row>
    <row r="17" spans="1:4" x14ac:dyDescent="0.25">
      <c r="A17" s="33" t="s">
        <v>117</v>
      </c>
      <c r="B17" s="33" t="s">
        <v>118</v>
      </c>
      <c r="C17" s="33">
        <v>516789012</v>
      </c>
      <c r="D17" s="33" t="s">
        <v>15</v>
      </c>
    </row>
    <row r="18" spans="1:4" x14ac:dyDescent="0.25">
      <c r="A18" s="33" t="s">
        <v>119</v>
      </c>
      <c r="B18" s="33" t="s">
        <v>120</v>
      </c>
      <c r="C18" s="33">
        <v>517890123</v>
      </c>
      <c r="D18" s="33" t="s">
        <v>102</v>
      </c>
    </row>
    <row r="19" spans="1:4" x14ac:dyDescent="0.25">
      <c r="A19" s="33" t="s">
        <v>121</v>
      </c>
      <c r="B19" s="33" t="s">
        <v>122</v>
      </c>
      <c r="C19" s="33">
        <v>518901234</v>
      </c>
      <c r="D19" s="33" t="s">
        <v>15</v>
      </c>
    </row>
    <row r="20" spans="1:4" x14ac:dyDescent="0.25">
      <c r="A20" s="33" t="s">
        <v>123</v>
      </c>
      <c r="B20" s="33" t="s">
        <v>124</v>
      </c>
      <c r="C20" s="33">
        <v>519012345</v>
      </c>
      <c r="D20" s="33" t="s">
        <v>86</v>
      </c>
    </row>
    <row r="21" spans="1:4" x14ac:dyDescent="0.25">
      <c r="A21" s="33" t="s">
        <v>125</v>
      </c>
      <c r="B21" s="33" t="s">
        <v>126</v>
      </c>
      <c r="C21" s="33">
        <v>520123456</v>
      </c>
      <c r="D21" s="33" t="s">
        <v>89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A1B4E-A816-45C5-96A9-40DEDC438A10}">
  <sheetPr codeName="Sheet3"/>
  <dimension ref="A1:G51"/>
  <sheetViews>
    <sheetView workbookViewId="0">
      <selection activeCell="H7" sqref="H7"/>
    </sheetView>
  </sheetViews>
  <sheetFormatPr defaultRowHeight="15" x14ac:dyDescent="0.25"/>
  <cols>
    <col min="1" max="1" width="11.28515625" customWidth="1"/>
    <col min="2" max="2" width="12.85546875" customWidth="1"/>
    <col min="3" max="3" width="15.140625" customWidth="1"/>
    <col min="4" max="4" width="13.28515625" customWidth="1"/>
    <col min="5" max="5" width="11.7109375" customWidth="1"/>
    <col min="6" max="6" width="12.7109375" customWidth="1"/>
    <col min="7" max="7" width="8.7109375" customWidth="1"/>
  </cols>
  <sheetData>
    <row r="1" spans="1:7" ht="15.75" x14ac:dyDescent="0.25">
      <c r="A1" s="1" t="s">
        <v>16</v>
      </c>
      <c r="B1" s="1" t="s">
        <v>17</v>
      </c>
      <c r="C1" s="1" t="s">
        <v>9</v>
      </c>
      <c r="D1" s="1" t="s">
        <v>0</v>
      </c>
      <c r="E1" s="1" t="s">
        <v>18</v>
      </c>
      <c r="F1" s="1" t="s">
        <v>19</v>
      </c>
      <c r="G1" s="1" t="s">
        <v>20</v>
      </c>
    </row>
    <row r="2" spans="1:7" x14ac:dyDescent="0.25">
      <c r="A2" s="33" t="s">
        <v>127</v>
      </c>
      <c r="B2" s="34">
        <v>46023</v>
      </c>
      <c r="C2" s="33" t="s">
        <v>13</v>
      </c>
      <c r="D2" s="33" t="s">
        <v>6</v>
      </c>
      <c r="E2" s="33">
        <v>2</v>
      </c>
      <c r="F2" s="33">
        <f>_xlfn.XLOOKUP(D2, Products_Master!A:A, Products_Master!E:E)</f>
        <v>3000</v>
      </c>
      <c r="G2" s="33">
        <f t="shared" ref="G2:G33" si="0">E2*F2</f>
        <v>6000</v>
      </c>
    </row>
    <row r="3" spans="1:7" x14ac:dyDescent="0.25">
      <c r="A3" s="33" t="s">
        <v>128</v>
      </c>
      <c r="B3" s="34">
        <v>46023</v>
      </c>
      <c r="C3" s="33" t="s">
        <v>84</v>
      </c>
      <c r="D3" s="33" t="s">
        <v>24</v>
      </c>
      <c r="E3" s="33">
        <v>1</v>
      </c>
      <c r="F3" s="33">
        <f>_xlfn.XLOOKUP(D3, Products_Master!A:A, Products_Master!E:E)</f>
        <v>2700</v>
      </c>
      <c r="G3" s="33">
        <f t="shared" si="0"/>
        <v>2700</v>
      </c>
    </row>
    <row r="4" spans="1:7" x14ac:dyDescent="0.25">
      <c r="A4" s="33" t="s">
        <v>129</v>
      </c>
      <c r="B4" s="34">
        <v>46054</v>
      </c>
      <c r="C4" s="33" t="s">
        <v>87</v>
      </c>
      <c r="D4" s="33" t="s">
        <v>22</v>
      </c>
      <c r="E4" s="33">
        <v>3</v>
      </c>
      <c r="F4" s="33">
        <f>_xlfn.XLOOKUP(D4, Products_Master!A:A, Products_Master!E:E)</f>
        <v>2800</v>
      </c>
      <c r="G4" s="33">
        <f t="shared" si="0"/>
        <v>8400</v>
      </c>
    </row>
    <row r="5" spans="1:7" x14ac:dyDescent="0.25">
      <c r="A5" s="33" t="s">
        <v>130</v>
      </c>
      <c r="B5" s="34">
        <v>46054</v>
      </c>
      <c r="C5" s="33" t="s">
        <v>90</v>
      </c>
      <c r="D5" s="33" t="s">
        <v>31</v>
      </c>
      <c r="E5" s="33">
        <v>5</v>
      </c>
      <c r="F5" s="33">
        <f>_xlfn.XLOOKUP(D5, Products_Master!A:A, Products_Master!E:E)</f>
        <v>120</v>
      </c>
      <c r="G5" s="33">
        <f t="shared" si="0"/>
        <v>600</v>
      </c>
    </row>
    <row r="6" spans="1:7" x14ac:dyDescent="0.25">
      <c r="A6" s="33" t="s">
        <v>131</v>
      </c>
      <c r="B6" s="34">
        <v>46082</v>
      </c>
      <c r="C6" s="33" t="s">
        <v>93</v>
      </c>
      <c r="D6" s="33" t="s">
        <v>21</v>
      </c>
      <c r="E6" s="33">
        <v>1</v>
      </c>
      <c r="F6" s="33">
        <f>_xlfn.XLOOKUP(D6, Products_Master!A:A, Products_Master!E:E)</f>
        <v>3600</v>
      </c>
      <c r="G6" s="33">
        <f t="shared" si="0"/>
        <v>3600</v>
      </c>
    </row>
    <row r="7" spans="1:7" x14ac:dyDescent="0.25">
      <c r="A7" s="33" t="s">
        <v>132</v>
      </c>
      <c r="B7" s="34">
        <v>46082</v>
      </c>
      <c r="C7" s="33" t="s">
        <v>95</v>
      </c>
      <c r="D7" s="33" t="s">
        <v>28</v>
      </c>
      <c r="E7" s="33">
        <v>2</v>
      </c>
      <c r="F7" s="33">
        <f>_xlfn.XLOOKUP(D7, Products_Master!A:A, Products_Master!E:E)</f>
        <v>850</v>
      </c>
      <c r="G7" s="33">
        <f t="shared" si="0"/>
        <v>1700</v>
      </c>
    </row>
    <row r="8" spans="1:7" x14ac:dyDescent="0.25">
      <c r="A8" s="33" t="s">
        <v>133</v>
      </c>
      <c r="B8" s="34">
        <v>46113</v>
      </c>
      <c r="C8" s="33" t="s">
        <v>98</v>
      </c>
      <c r="D8" s="33" t="s">
        <v>37</v>
      </c>
      <c r="E8" s="33">
        <v>1</v>
      </c>
      <c r="F8" s="33">
        <f>_xlfn.XLOOKUP(D8, Products_Master!A:A, Products_Master!E:E)</f>
        <v>2700</v>
      </c>
      <c r="G8" s="33">
        <f t="shared" si="0"/>
        <v>2700</v>
      </c>
    </row>
    <row r="9" spans="1:7" x14ac:dyDescent="0.25">
      <c r="A9" s="33" t="s">
        <v>134</v>
      </c>
      <c r="B9" s="34">
        <v>46113</v>
      </c>
      <c r="C9" s="33" t="s">
        <v>100</v>
      </c>
      <c r="D9" s="33" t="s">
        <v>23</v>
      </c>
      <c r="E9" s="33">
        <v>4</v>
      </c>
      <c r="F9" s="33">
        <f>_xlfn.XLOOKUP(D9, Products_Master!A:A, Products_Master!E:E)</f>
        <v>1100</v>
      </c>
      <c r="G9" s="33">
        <f t="shared" si="0"/>
        <v>4400</v>
      </c>
    </row>
    <row r="10" spans="1:7" x14ac:dyDescent="0.25">
      <c r="A10" s="33" t="s">
        <v>135</v>
      </c>
      <c r="B10" s="34">
        <v>46143</v>
      </c>
      <c r="C10" s="33" t="s">
        <v>103</v>
      </c>
      <c r="D10" s="33" t="s">
        <v>26</v>
      </c>
      <c r="E10" s="33">
        <v>1</v>
      </c>
      <c r="F10" s="33">
        <f>_xlfn.XLOOKUP(D10, Products_Master!A:A, Products_Master!E:E)</f>
        <v>3800</v>
      </c>
      <c r="G10" s="33">
        <f t="shared" si="0"/>
        <v>3800</v>
      </c>
    </row>
    <row r="11" spans="1:7" x14ac:dyDescent="0.25">
      <c r="A11" s="33" t="s">
        <v>136</v>
      </c>
      <c r="B11" s="34">
        <v>46143</v>
      </c>
      <c r="C11" s="33" t="s">
        <v>105</v>
      </c>
      <c r="D11" s="33" t="s">
        <v>32</v>
      </c>
      <c r="E11" s="33">
        <v>3</v>
      </c>
      <c r="F11" s="33">
        <f>_xlfn.XLOOKUP(D11, Products_Master!A:A, Products_Master!E:E)</f>
        <v>300</v>
      </c>
      <c r="G11" s="33">
        <f t="shared" si="0"/>
        <v>900</v>
      </c>
    </row>
    <row r="12" spans="1:7" x14ac:dyDescent="0.25">
      <c r="A12" s="33" t="s">
        <v>137</v>
      </c>
      <c r="B12" s="34">
        <v>46174</v>
      </c>
      <c r="C12" s="33" t="s">
        <v>107</v>
      </c>
      <c r="D12" s="33" t="s">
        <v>30</v>
      </c>
      <c r="E12" s="33">
        <v>2</v>
      </c>
      <c r="F12" s="33">
        <f>_xlfn.XLOOKUP(D12, Products_Master!A:A, Products_Master!E:E)</f>
        <v>650</v>
      </c>
      <c r="G12" s="33">
        <f t="shared" si="0"/>
        <v>1300</v>
      </c>
    </row>
    <row r="13" spans="1:7" x14ac:dyDescent="0.25">
      <c r="A13" s="33" t="s">
        <v>138</v>
      </c>
      <c r="B13" s="34">
        <v>46174</v>
      </c>
      <c r="C13" s="33" t="s">
        <v>109</v>
      </c>
      <c r="D13" s="33" t="s">
        <v>33</v>
      </c>
      <c r="E13" s="33">
        <v>1</v>
      </c>
      <c r="F13" s="33">
        <f>_xlfn.XLOOKUP(D13, Products_Master!A:A, Products_Master!E:E)</f>
        <v>2400</v>
      </c>
      <c r="G13" s="33">
        <f t="shared" si="0"/>
        <v>2400</v>
      </c>
    </row>
    <row r="14" spans="1:7" x14ac:dyDescent="0.25">
      <c r="A14" s="33" t="s">
        <v>139</v>
      </c>
      <c r="B14" s="34">
        <v>46204</v>
      </c>
      <c r="C14" s="33" t="s">
        <v>111</v>
      </c>
      <c r="D14" s="33" t="s">
        <v>35</v>
      </c>
      <c r="E14" s="33">
        <v>1</v>
      </c>
      <c r="F14" s="33">
        <f>_xlfn.XLOOKUP(D14, Products_Master!A:A, Products_Master!E:E)</f>
        <v>3500</v>
      </c>
      <c r="G14" s="33">
        <f t="shared" si="0"/>
        <v>3500</v>
      </c>
    </row>
    <row r="15" spans="1:7" x14ac:dyDescent="0.25">
      <c r="A15" s="33" t="s">
        <v>140</v>
      </c>
      <c r="B15" s="34">
        <v>46204</v>
      </c>
      <c r="C15" s="33" t="s">
        <v>113</v>
      </c>
      <c r="D15" s="33" t="s">
        <v>36</v>
      </c>
      <c r="E15" s="33">
        <v>2</v>
      </c>
      <c r="F15" s="33">
        <f>_xlfn.XLOOKUP(D15, Products_Master!A:A, Products_Master!E:E)</f>
        <v>2100</v>
      </c>
      <c r="G15" s="33">
        <f t="shared" si="0"/>
        <v>4200</v>
      </c>
    </row>
    <row r="16" spans="1:7" x14ac:dyDescent="0.25">
      <c r="A16" s="33" t="s">
        <v>141</v>
      </c>
      <c r="B16" s="34">
        <v>46235</v>
      </c>
      <c r="C16" s="33" t="s">
        <v>115</v>
      </c>
      <c r="D16" s="33" t="s">
        <v>27</v>
      </c>
      <c r="E16" s="33">
        <v>1</v>
      </c>
      <c r="F16" s="33">
        <f>_xlfn.XLOOKUP(D16, Products_Master!A:A, Products_Master!E:E)</f>
        <v>3400</v>
      </c>
      <c r="G16" s="33">
        <f t="shared" si="0"/>
        <v>3400</v>
      </c>
    </row>
    <row r="17" spans="1:7" x14ac:dyDescent="0.25">
      <c r="A17" s="33" t="s">
        <v>142</v>
      </c>
      <c r="B17" s="34">
        <v>46235</v>
      </c>
      <c r="C17" s="33" t="s">
        <v>117</v>
      </c>
      <c r="D17" s="33" t="s">
        <v>40</v>
      </c>
      <c r="E17" s="33">
        <v>3</v>
      </c>
      <c r="F17" s="33">
        <f>_xlfn.XLOOKUP(D17, Products_Master!A:A, Products_Master!E:E)</f>
        <v>250</v>
      </c>
      <c r="G17" s="33">
        <f t="shared" si="0"/>
        <v>750</v>
      </c>
    </row>
    <row r="18" spans="1:7" x14ac:dyDescent="0.25">
      <c r="A18" s="33" t="s">
        <v>143</v>
      </c>
      <c r="B18" s="34">
        <v>46266</v>
      </c>
      <c r="C18" s="33" t="s">
        <v>119</v>
      </c>
      <c r="D18" s="33" t="s">
        <v>42</v>
      </c>
      <c r="E18" s="33">
        <v>4</v>
      </c>
      <c r="F18" s="33">
        <f>_xlfn.XLOOKUP(D18, Products_Master!A:A, Products_Master!E:E)</f>
        <v>150</v>
      </c>
      <c r="G18" s="33">
        <f t="shared" si="0"/>
        <v>600</v>
      </c>
    </row>
    <row r="19" spans="1:7" x14ac:dyDescent="0.25">
      <c r="A19" s="33" t="s">
        <v>144</v>
      </c>
      <c r="B19" s="34">
        <v>46266</v>
      </c>
      <c r="C19" s="33" t="s">
        <v>121</v>
      </c>
      <c r="D19" s="33" t="s">
        <v>43</v>
      </c>
      <c r="E19" s="33">
        <v>2</v>
      </c>
      <c r="F19" s="33">
        <f>_xlfn.XLOOKUP(D19, Products_Master!A:A, Products_Master!E:E)</f>
        <v>500</v>
      </c>
      <c r="G19" s="33">
        <f t="shared" si="0"/>
        <v>1000</v>
      </c>
    </row>
    <row r="20" spans="1:7" x14ac:dyDescent="0.25">
      <c r="A20" s="33" t="s">
        <v>145</v>
      </c>
      <c r="B20" s="34">
        <v>46296</v>
      </c>
      <c r="C20" s="33" t="s">
        <v>123</v>
      </c>
      <c r="D20" s="33" t="s">
        <v>45</v>
      </c>
      <c r="E20" s="33">
        <v>1</v>
      </c>
      <c r="F20" s="33">
        <f>_xlfn.XLOOKUP(D20, Products_Master!A:A, Products_Master!E:E)</f>
        <v>650</v>
      </c>
      <c r="G20" s="33">
        <f t="shared" si="0"/>
        <v>650</v>
      </c>
    </row>
    <row r="21" spans="1:7" x14ac:dyDescent="0.25">
      <c r="A21" s="33" t="s">
        <v>146</v>
      </c>
      <c r="B21" s="34">
        <v>46296</v>
      </c>
      <c r="C21" s="33" t="s">
        <v>125</v>
      </c>
      <c r="D21" s="33" t="s">
        <v>6</v>
      </c>
      <c r="E21" s="33">
        <v>2</v>
      </c>
      <c r="F21" s="33">
        <f>_xlfn.XLOOKUP(D21, Products_Master!A:A, Products_Master!E:E)</f>
        <v>3000</v>
      </c>
      <c r="G21" s="33">
        <f t="shared" si="0"/>
        <v>6000</v>
      </c>
    </row>
    <row r="22" spans="1:7" x14ac:dyDescent="0.25">
      <c r="A22" s="33" t="s">
        <v>147</v>
      </c>
      <c r="B22" s="34">
        <v>46327</v>
      </c>
      <c r="C22" s="33" t="s">
        <v>13</v>
      </c>
      <c r="D22" s="33" t="s">
        <v>21</v>
      </c>
      <c r="E22" s="33">
        <v>1</v>
      </c>
      <c r="F22" s="33">
        <f>_xlfn.XLOOKUP(D22, Products_Master!A:A, Products_Master!E:E)</f>
        <v>3600</v>
      </c>
      <c r="G22" s="33">
        <f t="shared" si="0"/>
        <v>3600</v>
      </c>
    </row>
    <row r="23" spans="1:7" x14ac:dyDescent="0.25">
      <c r="A23" s="33" t="s">
        <v>148</v>
      </c>
      <c r="B23" s="34">
        <v>46327</v>
      </c>
      <c r="C23" s="33" t="s">
        <v>84</v>
      </c>
      <c r="D23" s="33" t="s">
        <v>22</v>
      </c>
      <c r="E23" s="33">
        <v>2</v>
      </c>
      <c r="F23" s="33">
        <f>_xlfn.XLOOKUP(D23, Products_Master!A:A, Products_Master!E:E)</f>
        <v>2800</v>
      </c>
      <c r="G23" s="33">
        <f t="shared" si="0"/>
        <v>5600</v>
      </c>
    </row>
    <row r="24" spans="1:7" x14ac:dyDescent="0.25">
      <c r="A24" s="33" t="s">
        <v>149</v>
      </c>
      <c r="B24" s="34">
        <v>46357</v>
      </c>
      <c r="C24" s="33" t="s">
        <v>87</v>
      </c>
      <c r="D24" s="33" t="s">
        <v>23</v>
      </c>
      <c r="E24" s="33">
        <v>3</v>
      </c>
      <c r="F24" s="33">
        <f>_xlfn.XLOOKUP(D24, Products_Master!A:A, Products_Master!E:E)</f>
        <v>1100</v>
      </c>
      <c r="G24" s="33">
        <f t="shared" si="0"/>
        <v>3300</v>
      </c>
    </row>
    <row r="25" spans="1:7" x14ac:dyDescent="0.25">
      <c r="A25" s="33" t="s">
        <v>150</v>
      </c>
      <c r="B25" s="34">
        <v>46357</v>
      </c>
      <c r="C25" s="33" t="s">
        <v>90</v>
      </c>
      <c r="D25" s="33" t="s">
        <v>24</v>
      </c>
      <c r="E25" s="33">
        <v>1</v>
      </c>
      <c r="F25" s="33">
        <f>_xlfn.XLOOKUP(D25, Products_Master!A:A, Products_Master!E:E)</f>
        <v>2700</v>
      </c>
      <c r="G25" s="33">
        <f t="shared" si="0"/>
        <v>2700</v>
      </c>
    </row>
    <row r="26" spans="1:7" x14ac:dyDescent="0.25">
      <c r="A26" s="33" t="s">
        <v>151</v>
      </c>
      <c r="B26" s="33" t="s">
        <v>152</v>
      </c>
      <c r="C26" s="33" t="s">
        <v>93</v>
      </c>
      <c r="D26" s="33" t="s">
        <v>26</v>
      </c>
      <c r="E26" s="33">
        <v>1</v>
      </c>
      <c r="F26" s="33">
        <f>_xlfn.XLOOKUP(D26, Products_Master!A:A, Products_Master!E:E)</f>
        <v>3800</v>
      </c>
      <c r="G26" s="33">
        <f t="shared" si="0"/>
        <v>3800</v>
      </c>
    </row>
    <row r="27" spans="1:7" x14ac:dyDescent="0.25">
      <c r="A27" s="33" t="s">
        <v>153</v>
      </c>
      <c r="B27" s="33" t="s">
        <v>152</v>
      </c>
      <c r="C27" s="33" t="s">
        <v>95</v>
      </c>
      <c r="D27" s="33" t="s">
        <v>27</v>
      </c>
      <c r="E27" s="33">
        <v>2</v>
      </c>
      <c r="F27" s="33">
        <f>_xlfn.XLOOKUP(D27, Products_Master!A:A, Products_Master!E:E)</f>
        <v>3400</v>
      </c>
      <c r="G27" s="33">
        <f t="shared" si="0"/>
        <v>6800</v>
      </c>
    </row>
    <row r="28" spans="1:7" x14ac:dyDescent="0.25">
      <c r="A28" s="33" t="s">
        <v>154</v>
      </c>
      <c r="B28" s="33" t="s">
        <v>155</v>
      </c>
      <c r="C28" s="33" t="s">
        <v>98</v>
      </c>
      <c r="D28" s="33" t="s">
        <v>28</v>
      </c>
      <c r="E28" s="33">
        <v>3</v>
      </c>
      <c r="F28" s="33">
        <f>_xlfn.XLOOKUP(D28, Products_Master!A:A, Products_Master!E:E)</f>
        <v>850</v>
      </c>
      <c r="G28" s="33">
        <f t="shared" si="0"/>
        <v>2550</v>
      </c>
    </row>
    <row r="29" spans="1:7" x14ac:dyDescent="0.25">
      <c r="A29" s="33" t="s">
        <v>156</v>
      </c>
      <c r="B29" s="33" t="s">
        <v>155</v>
      </c>
      <c r="C29" s="33" t="s">
        <v>100</v>
      </c>
      <c r="D29" s="33" t="s">
        <v>30</v>
      </c>
      <c r="E29" s="33">
        <v>2</v>
      </c>
      <c r="F29" s="33">
        <f>_xlfn.XLOOKUP(D29, Products_Master!A:A, Products_Master!E:E)</f>
        <v>650</v>
      </c>
      <c r="G29" s="33">
        <f t="shared" si="0"/>
        <v>1300</v>
      </c>
    </row>
    <row r="30" spans="1:7" x14ac:dyDescent="0.25">
      <c r="A30" s="33" t="s">
        <v>157</v>
      </c>
      <c r="B30" s="33" t="s">
        <v>158</v>
      </c>
      <c r="C30" s="33" t="s">
        <v>103</v>
      </c>
      <c r="D30" s="33" t="s">
        <v>31</v>
      </c>
      <c r="E30" s="33">
        <v>4</v>
      </c>
      <c r="F30" s="33">
        <f>_xlfn.XLOOKUP(D30, Products_Master!A:A, Products_Master!E:E)</f>
        <v>120</v>
      </c>
      <c r="G30" s="33">
        <f t="shared" si="0"/>
        <v>480</v>
      </c>
    </row>
    <row r="31" spans="1:7" x14ac:dyDescent="0.25">
      <c r="A31" s="33" t="s">
        <v>159</v>
      </c>
      <c r="B31" s="33" t="s">
        <v>158</v>
      </c>
      <c r="C31" s="33" t="s">
        <v>105</v>
      </c>
      <c r="D31" s="33" t="s">
        <v>32</v>
      </c>
      <c r="E31" s="33">
        <v>1</v>
      </c>
      <c r="F31" s="33">
        <f>_xlfn.XLOOKUP(D31, Products_Master!A:A, Products_Master!E:E)</f>
        <v>300</v>
      </c>
      <c r="G31" s="33">
        <f t="shared" si="0"/>
        <v>300</v>
      </c>
    </row>
    <row r="32" spans="1:7" x14ac:dyDescent="0.25">
      <c r="A32" s="33" t="s">
        <v>160</v>
      </c>
      <c r="B32" s="33" t="s">
        <v>161</v>
      </c>
      <c r="C32" s="33" t="s">
        <v>107</v>
      </c>
      <c r="D32" s="33" t="s">
        <v>33</v>
      </c>
      <c r="E32" s="33">
        <v>1</v>
      </c>
      <c r="F32" s="33">
        <f>_xlfn.XLOOKUP(D32, Products_Master!A:A, Products_Master!E:E)</f>
        <v>2400</v>
      </c>
      <c r="G32" s="33">
        <f t="shared" si="0"/>
        <v>2400</v>
      </c>
    </row>
    <row r="33" spans="1:7" x14ac:dyDescent="0.25">
      <c r="A33" s="33" t="s">
        <v>162</v>
      </c>
      <c r="B33" s="33" t="s">
        <v>161</v>
      </c>
      <c r="C33" s="33" t="s">
        <v>109</v>
      </c>
      <c r="D33" s="33" t="s">
        <v>35</v>
      </c>
      <c r="E33" s="33">
        <v>1</v>
      </c>
      <c r="F33" s="33">
        <f>_xlfn.XLOOKUP(D33, Products_Master!A:A, Products_Master!E:E)</f>
        <v>3500</v>
      </c>
      <c r="G33" s="33">
        <f t="shared" si="0"/>
        <v>3500</v>
      </c>
    </row>
    <row r="34" spans="1:7" x14ac:dyDescent="0.25">
      <c r="A34" s="33" t="s">
        <v>163</v>
      </c>
      <c r="B34" s="33" t="s">
        <v>164</v>
      </c>
      <c r="C34" s="33" t="s">
        <v>111</v>
      </c>
      <c r="D34" s="33" t="s">
        <v>36</v>
      </c>
      <c r="E34" s="33">
        <v>2</v>
      </c>
      <c r="F34" s="33">
        <f>_xlfn.XLOOKUP(D34, Products_Master!A:A, Products_Master!E:E)</f>
        <v>2100</v>
      </c>
      <c r="G34" s="33">
        <f t="shared" ref="G34:G51" si="1">E34*F34</f>
        <v>4200</v>
      </c>
    </row>
    <row r="35" spans="1:7" x14ac:dyDescent="0.25">
      <c r="A35" s="33" t="s">
        <v>165</v>
      </c>
      <c r="B35" s="33" t="s">
        <v>164</v>
      </c>
      <c r="C35" s="33" t="s">
        <v>113</v>
      </c>
      <c r="D35" s="33" t="s">
        <v>37</v>
      </c>
      <c r="E35" s="33">
        <v>1</v>
      </c>
      <c r="F35" s="33">
        <f>_xlfn.XLOOKUP(D35, Products_Master!A:A, Products_Master!E:E)</f>
        <v>2700</v>
      </c>
      <c r="G35" s="33">
        <f t="shared" si="1"/>
        <v>2700</v>
      </c>
    </row>
    <row r="36" spans="1:7" x14ac:dyDescent="0.25">
      <c r="A36" s="33" t="s">
        <v>166</v>
      </c>
      <c r="B36" s="33" t="s">
        <v>167</v>
      </c>
      <c r="C36" s="33" t="s">
        <v>115</v>
      </c>
      <c r="D36" s="33" t="s">
        <v>39</v>
      </c>
      <c r="E36" s="33">
        <v>3</v>
      </c>
      <c r="F36" s="33">
        <f>_xlfn.XLOOKUP(D36, Products_Master!A:A, Products_Master!E:E)</f>
        <v>550</v>
      </c>
      <c r="G36" s="33">
        <f t="shared" si="1"/>
        <v>1650</v>
      </c>
    </row>
    <row r="37" spans="1:7" x14ac:dyDescent="0.25">
      <c r="A37" s="33" t="s">
        <v>168</v>
      </c>
      <c r="B37" s="33" t="s">
        <v>167</v>
      </c>
      <c r="C37" s="33" t="s">
        <v>117</v>
      </c>
      <c r="D37" s="33" t="s">
        <v>40</v>
      </c>
      <c r="E37" s="33">
        <v>2</v>
      </c>
      <c r="F37" s="33">
        <f>_xlfn.XLOOKUP(D37, Products_Master!A:A, Products_Master!E:E)</f>
        <v>250</v>
      </c>
      <c r="G37" s="33">
        <f t="shared" si="1"/>
        <v>500</v>
      </c>
    </row>
    <row r="38" spans="1:7" x14ac:dyDescent="0.25">
      <c r="A38" s="33" t="s">
        <v>169</v>
      </c>
      <c r="B38" s="33" t="s">
        <v>170</v>
      </c>
      <c r="C38" s="33" t="s">
        <v>119</v>
      </c>
      <c r="D38" s="33" t="s">
        <v>42</v>
      </c>
      <c r="E38" s="33">
        <v>3</v>
      </c>
      <c r="F38" s="33">
        <f>_xlfn.XLOOKUP(D38, Products_Master!A:A, Products_Master!E:E)</f>
        <v>150</v>
      </c>
      <c r="G38" s="33">
        <f t="shared" si="1"/>
        <v>450</v>
      </c>
    </row>
    <row r="39" spans="1:7" x14ac:dyDescent="0.25">
      <c r="A39" s="33" t="s">
        <v>171</v>
      </c>
      <c r="B39" s="33" t="s">
        <v>170</v>
      </c>
      <c r="C39" s="33" t="s">
        <v>121</v>
      </c>
      <c r="D39" s="33" t="s">
        <v>43</v>
      </c>
      <c r="E39" s="33">
        <v>1</v>
      </c>
      <c r="F39" s="33">
        <f>_xlfn.XLOOKUP(D39, Products_Master!A:A, Products_Master!E:E)</f>
        <v>500</v>
      </c>
      <c r="G39" s="33">
        <f t="shared" si="1"/>
        <v>500</v>
      </c>
    </row>
    <row r="40" spans="1:7" x14ac:dyDescent="0.25">
      <c r="A40" s="33" t="s">
        <v>172</v>
      </c>
      <c r="B40" s="33" t="s">
        <v>173</v>
      </c>
      <c r="C40" s="33" t="s">
        <v>123</v>
      </c>
      <c r="D40" s="33" t="s">
        <v>45</v>
      </c>
      <c r="E40" s="33">
        <v>2</v>
      </c>
      <c r="F40" s="33">
        <f>_xlfn.XLOOKUP(D40, Products_Master!A:A, Products_Master!E:E)</f>
        <v>650</v>
      </c>
      <c r="G40" s="33">
        <f t="shared" si="1"/>
        <v>1300</v>
      </c>
    </row>
    <row r="41" spans="1:7" x14ac:dyDescent="0.25">
      <c r="A41" s="33" t="s">
        <v>174</v>
      </c>
      <c r="B41" s="33" t="s">
        <v>173</v>
      </c>
      <c r="C41" s="33" t="s">
        <v>125</v>
      </c>
      <c r="D41" s="33" t="s">
        <v>6</v>
      </c>
      <c r="E41" s="33">
        <v>1</v>
      </c>
      <c r="F41" s="33">
        <f>_xlfn.XLOOKUP(D41, Products_Master!A:A, Products_Master!E:E)</f>
        <v>3000</v>
      </c>
      <c r="G41" s="33">
        <f t="shared" si="1"/>
        <v>3000</v>
      </c>
    </row>
    <row r="42" spans="1:7" x14ac:dyDescent="0.25">
      <c r="A42" s="33" t="s">
        <v>175</v>
      </c>
      <c r="B42" s="33" t="s">
        <v>176</v>
      </c>
      <c r="C42" s="33" t="s">
        <v>13</v>
      </c>
      <c r="D42" s="33" t="s">
        <v>21</v>
      </c>
      <c r="E42" s="33">
        <v>2</v>
      </c>
      <c r="F42" s="33">
        <f>_xlfn.XLOOKUP(D42, Products_Master!A:A, Products_Master!E:E)</f>
        <v>3600</v>
      </c>
      <c r="G42" s="33">
        <f t="shared" si="1"/>
        <v>7200</v>
      </c>
    </row>
    <row r="43" spans="1:7" x14ac:dyDescent="0.25">
      <c r="A43" s="33" t="s">
        <v>177</v>
      </c>
      <c r="B43" s="33" t="s">
        <v>176</v>
      </c>
      <c r="C43" s="33" t="s">
        <v>84</v>
      </c>
      <c r="D43" s="33" t="s">
        <v>22</v>
      </c>
      <c r="E43" s="33">
        <v>1</v>
      </c>
      <c r="F43" s="33">
        <f>_xlfn.XLOOKUP(D43, Products_Master!A:A, Products_Master!E:E)</f>
        <v>2800</v>
      </c>
      <c r="G43" s="33">
        <f t="shared" si="1"/>
        <v>2800</v>
      </c>
    </row>
    <row r="44" spans="1:7" x14ac:dyDescent="0.25">
      <c r="A44" s="33" t="s">
        <v>178</v>
      </c>
      <c r="B44" s="33" t="s">
        <v>179</v>
      </c>
      <c r="C44" s="33" t="s">
        <v>87</v>
      </c>
      <c r="D44" s="33" t="s">
        <v>23</v>
      </c>
      <c r="E44" s="33">
        <v>3</v>
      </c>
      <c r="F44" s="33">
        <f>_xlfn.XLOOKUP(D44, Products_Master!A:A, Products_Master!E:E)</f>
        <v>1100</v>
      </c>
      <c r="G44" s="33">
        <f t="shared" si="1"/>
        <v>3300</v>
      </c>
    </row>
    <row r="45" spans="1:7" x14ac:dyDescent="0.25">
      <c r="A45" s="33" t="s">
        <v>180</v>
      </c>
      <c r="B45" s="33" t="s">
        <v>179</v>
      </c>
      <c r="C45" s="33" t="s">
        <v>90</v>
      </c>
      <c r="D45" s="33" t="s">
        <v>24</v>
      </c>
      <c r="E45" s="33">
        <v>2</v>
      </c>
      <c r="F45" s="33">
        <f>_xlfn.XLOOKUP(D45, Products_Master!A:A, Products_Master!E:E)</f>
        <v>2700</v>
      </c>
      <c r="G45" s="33">
        <f t="shared" si="1"/>
        <v>5400</v>
      </c>
    </row>
    <row r="46" spans="1:7" x14ac:dyDescent="0.25">
      <c r="A46" s="33" t="s">
        <v>181</v>
      </c>
      <c r="B46" s="33" t="s">
        <v>182</v>
      </c>
      <c r="C46" s="33" t="s">
        <v>93</v>
      </c>
      <c r="D46" s="33" t="s">
        <v>26</v>
      </c>
      <c r="E46" s="33">
        <v>1</v>
      </c>
      <c r="F46" s="33">
        <f>_xlfn.XLOOKUP(D46, Products_Master!A:A, Products_Master!E:E)</f>
        <v>3800</v>
      </c>
      <c r="G46" s="33">
        <f t="shared" si="1"/>
        <v>3800</v>
      </c>
    </row>
    <row r="47" spans="1:7" x14ac:dyDescent="0.25">
      <c r="A47" s="33" t="s">
        <v>183</v>
      </c>
      <c r="B47" s="33" t="s">
        <v>182</v>
      </c>
      <c r="C47" s="33" t="s">
        <v>95</v>
      </c>
      <c r="D47" s="33" t="s">
        <v>27</v>
      </c>
      <c r="E47" s="33">
        <v>2</v>
      </c>
      <c r="F47" s="33">
        <f>_xlfn.XLOOKUP(D47, Products_Master!A:A, Products_Master!E:E)</f>
        <v>3400</v>
      </c>
      <c r="G47" s="33">
        <f t="shared" si="1"/>
        <v>6800</v>
      </c>
    </row>
    <row r="48" spans="1:7" x14ac:dyDescent="0.25">
      <c r="A48" s="33" t="s">
        <v>184</v>
      </c>
      <c r="B48" s="33" t="s">
        <v>185</v>
      </c>
      <c r="C48" s="33" t="s">
        <v>98</v>
      </c>
      <c r="D48" s="33" t="s">
        <v>28</v>
      </c>
      <c r="E48" s="33">
        <v>1</v>
      </c>
      <c r="F48" s="33">
        <f>_xlfn.XLOOKUP(D48, Products_Master!A:A, Products_Master!E:E)</f>
        <v>850</v>
      </c>
      <c r="G48" s="33">
        <f t="shared" si="1"/>
        <v>850</v>
      </c>
    </row>
    <row r="49" spans="1:7" x14ac:dyDescent="0.25">
      <c r="A49" s="33" t="s">
        <v>186</v>
      </c>
      <c r="B49" s="33" t="s">
        <v>185</v>
      </c>
      <c r="C49" s="33" t="s">
        <v>100</v>
      </c>
      <c r="D49" s="33" t="s">
        <v>30</v>
      </c>
      <c r="E49" s="33">
        <v>2</v>
      </c>
      <c r="F49" s="33">
        <f>_xlfn.XLOOKUP(D49, Products_Master!A:A, Products_Master!E:E)</f>
        <v>650</v>
      </c>
      <c r="G49" s="33">
        <f t="shared" si="1"/>
        <v>1300</v>
      </c>
    </row>
    <row r="50" spans="1:7" x14ac:dyDescent="0.25">
      <c r="A50" s="33" t="s">
        <v>187</v>
      </c>
      <c r="B50" s="33" t="s">
        <v>188</v>
      </c>
      <c r="C50" s="33" t="s">
        <v>103</v>
      </c>
      <c r="D50" s="33" t="s">
        <v>31</v>
      </c>
      <c r="E50" s="33">
        <v>3</v>
      </c>
      <c r="F50" s="33">
        <f>_xlfn.XLOOKUP(D50, Products_Master!A:A, Products_Master!E:E)</f>
        <v>120</v>
      </c>
      <c r="G50" s="33">
        <f t="shared" si="1"/>
        <v>360</v>
      </c>
    </row>
    <row r="51" spans="1:7" x14ac:dyDescent="0.25">
      <c r="A51" s="33" t="s">
        <v>189</v>
      </c>
      <c r="B51" s="33" t="s">
        <v>188</v>
      </c>
      <c r="C51" s="33" t="s">
        <v>105</v>
      </c>
      <c r="D51" s="33" t="s">
        <v>32</v>
      </c>
      <c r="E51" s="33">
        <v>2</v>
      </c>
      <c r="F51" s="33">
        <f>_xlfn.XLOOKUP(D51, Products_Master!A:A, Products_Master!E:E)</f>
        <v>300</v>
      </c>
      <c r="G51" s="33">
        <f t="shared" si="1"/>
        <v>600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867B5-98F3-45CD-8F33-A6E799678DD8}">
  <sheetPr codeName="Sheet4"/>
  <dimension ref="A1:K12"/>
  <sheetViews>
    <sheetView tabSelected="1" workbookViewId="0">
      <selection activeCell="G6" sqref="G6"/>
    </sheetView>
  </sheetViews>
  <sheetFormatPr defaultRowHeight="15" x14ac:dyDescent="0.25"/>
  <cols>
    <col min="1" max="1" width="12.7109375" customWidth="1"/>
    <col min="2" max="2" width="13.7109375" customWidth="1"/>
    <col min="3" max="3" width="15.140625" customWidth="1"/>
    <col min="4" max="4" width="18.7109375" customWidth="1"/>
    <col min="5" max="5" width="16.7109375" customWidth="1"/>
    <col min="6" max="6" width="16.85546875" customWidth="1"/>
    <col min="7" max="7" width="15.28515625" customWidth="1"/>
    <col min="8" max="8" width="12.7109375" customWidth="1"/>
    <col min="9" max="9" width="11.140625" customWidth="1"/>
    <col min="10" max="10" width="12.5703125" customWidth="1"/>
    <col min="11" max="11" width="15.85546875" customWidth="1"/>
  </cols>
  <sheetData>
    <row r="1" spans="1:11" s="3" customFormat="1" ht="46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ht="15.75" x14ac:dyDescent="0.25">
      <c r="A2" s="30" t="s">
        <v>16</v>
      </c>
      <c r="B2" s="31" t="s">
        <v>17</v>
      </c>
      <c r="C2" s="31" t="s">
        <v>9</v>
      </c>
      <c r="D2" s="31" t="s">
        <v>10</v>
      </c>
      <c r="E2" s="31" t="s">
        <v>0</v>
      </c>
      <c r="F2" s="31" t="s">
        <v>1</v>
      </c>
      <c r="G2" s="31" t="s">
        <v>18</v>
      </c>
      <c r="H2" s="31" t="s">
        <v>19</v>
      </c>
      <c r="I2" s="32" t="s">
        <v>214</v>
      </c>
      <c r="J2" s="32" t="s">
        <v>213</v>
      </c>
      <c r="K2" s="32" t="s">
        <v>20</v>
      </c>
    </row>
    <row r="3" spans="1:11" x14ac:dyDescent="0.25">
      <c r="A3" s="33" t="s">
        <v>127</v>
      </c>
      <c r="B3" s="34">
        <v>46023</v>
      </c>
      <c r="C3" s="33" t="s">
        <v>13</v>
      </c>
      <c r="D3" s="33" t="s">
        <v>14</v>
      </c>
      <c r="E3" s="33" t="s">
        <v>6</v>
      </c>
      <c r="F3" s="33" t="s">
        <v>7</v>
      </c>
      <c r="G3" s="33">
        <v>2</v>
      </c>
      <c r="H3" s="33">
        <v>3000</v>
      </c>
      <c r="I3" s="33">
        <v>6000</v>
      </c>
      <c r="J3" s="33">
        <v>900</v>
      </c>
      <c r="K3" s="33">
        <v>6900</v>
      </c>
    </row>
    <row r="4" spans="1:11" x14ac:dyDescent="0.25">
      <c r="A4" s="33" t="s">
        <v>128</v>
      </c>
      <c r="B4" s="34">
        <v>46023</v>
      </c>
      <c r="C4" s="33" t="s">
        <v>84</v>
      </c>
      <c r="D4" s="33" t="s">
        <v>85</v>
      </c>
      <c r="E4" s="33" t="s">
        <v>24</v>
      </c>
      <c r="F4" s="33" t="s">
        <v>59</v>
      </c>
      <c r="G4" s="33">
        <v>1</v>
      </c>
      <c r="H4" s="33">
        <v>2700</v>
      </c>
      <c r="I4" s="33">
        <v>2700</v>
      </c>
      <c r="J4" s="33">
        <v>405</v>
      </c>
      <c r="K4" s="33">
        <v>3105</v>
      </c>
    </row>
    <row r="5" spans="1:11" x14ac:dyDescent="0.25">
      <c r="A5" s="33"/>
      <c r="B5" s="34"/>
      <c r="C5" s="33"/>
      <c r="D5" s="33"/>
      <c r="E5" s="33"/>
      <c r="F5" s="33"/>
      <c r="G5" s="33"/>
      <c r="H5" s="33"/>
      <c r="I5" s="33"/>
      <c r="J5" s="33"/>
      <c r="K5" s="33"/>
    </row>
    <row r="6" spans="1:11" x14ac:dyDescent="0.25">
      <c r="A6" s="33"/>
      <c r="B6" s="34"/>
      <c r="C6" s="33"/>
      <c r="D6" s="33"/>
      <c r="E6" s="33"/>
      <c r="F6" s="33"/>
      <c r="G6" s="33"/>
      <c r="H6" s="33"/>
      <c r="I6" s="33"/>
      <c r="J6" s="33"/>
      <c r="K6" s="33"/>
    </row>
    <row r="7" spans="1:11" x14ac:dyDescent="0.25">
      <c r="A7" s="33"/>
      <c r="B7" s="34"/>
      <c r="C7" s="33"/>
      <c r="D7" s="33"/>
      <c r="E7" s="33"/>
      <c r="F7" s="33"/>
      <c r="G7" s="33"/>
      <c r="H7" s="33"/>
      <c r="I7" s="33"/>
      <c r="J7" s="33"/>
      <c r="K7" s="33"/>
    </row>
    <row r="8" spans="1:11" x14ac:dyDescent="0.25">
      <c r="A8" s="33"/>
      <c r="B8" s="34"/>
      <c r="C8" s="33"/>
      <c r="D8" s="33"/>
      <c r="E8" s="33"/>
      <c r="F8" s="33"/>
      <c r="G8" s="33"/>
      <c r="H8" s="33"/>
      <c r="I8" s="33"/>
      <c r="J8" s="33"/>
      <c r="K8" s="33"/>
    </row>
    <row r="9" spans="1:11" x14ac:dyDescent="0.25">
      <c r="A9" s="33"/>
      <c r="B9" s="34"/>
      <c r="C9" s="33"/>
      <c r="D9" s="33"/>
      <c r="E9" s="33"/>
      <c r="F9" s="33"/>
      <c r="G9" s="33"/>
      <c r="H9" s="33"/>
      <c r="I9" s="33"/>
      <c r="J9" s="33"/>
      <c r="K9" s="33"/>
    </row>
    <row r="10" spans="1:11" x14ac:dyDescent="0.25">
      <c r="A10" s="33"/>
      <c r="B10" s="34"/>
      <c r="C10" s="33"/>
      <c r="D10" s="33"/>
      <c r="E10" s="33"/>
      <c r="F10" s="33"/>
      <c r="G10" s="33"/>
      <c r="H10" s="33"/>
      <c r="I10" s="33"/>
      <c r="J10" s="33"/>
      <c r="K10" s="33"/>
    </row>
    <row r="11" spans="1:11" x14ac:dyDescent="0.25">
      <c r="A11" s="33"/>
      <c r="B11" s="34"/>
      <c r="C11" s="33"/>
      <c r="D11" s="33"/>
      <c r="E11" s="33"/>
      <c r="F11" s="33"/>
      <c r="G11" s="33"/>
      <c r="H11" s="33"/>
      <c r="I11" s="33"/>
      <c r="J11" s="33"/>
      <c r="K11" s="33"/>
    </row>
    <row r="12" spans="1:11" x14ac:dyDescent="0.25">
      <c r="A12" s="33"/>
      <c r="B12" s="34"/>
      <c r="C12" s="33"/>
      <c r="D12" s="33"/>
      <c r="E12" s="33"/>
      <c r="F12" s="33"/>
      <c r="G12" s="33"/>
      <c r="H12" s="33"/>
      <c r="I12" s="33"/>
      <c r="J12" s="33"/>
      <c r="K12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3" name="Button 21">
              <controlPr defaultSize="0" print="0" autoFill="0" autoPict="0" macro="[0]!OpenInvoiceForm">
                <anchor moveWithCells="1" sizeWithCells="1">
                  <from>
                    <xdr:col>3</xdr:col>
                    <xdr:colOff>1219200</xdr:colOff>
                    <xdr:row>0</xdr:row>
                    <xdr:rowOff>47625</xdr:rowOff>
                  </from>
                  <to>
                    <xdr:col>7</xdr:col>
                    <xdr:colOff>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96168-4D0E-44DD-9311-835F2EDF0FD5}">
  <sheetPr codeName="Sheet5">
    <pageSetUpPr fitToPage="1"/>
  </sheetPr>
  <dimension ref="B2:F31"/>
  <sheetViews>
    <sheetView zoomScaleNormal="100" workbookViewId="0">
      <selection activeCell="G31" sqref="G31"/>
    </sheetView>
  </sheetViews>
  <sheetFormatPr defaultRowHeight="15" x14ac:dyDescent="0.25"/>
  <cols>
    <col min="1" max="1" width="3.7109375" customWidth="1"/>
    <col min="2" max="2" width="15.7109375" customWidth="1"/>
    <col min="3" max="3" width="18" customWidth="1"/>
    <col min="4" max="4" width="12.7109375" customWidth="1"/>
    <col min="5" max="5" width="14.28515625" customWidth="1"/>
    <col min="6" max="6" width="12.7109375" customWidth="1"/>
  </cols>
  <sheetData>
    <row r="2" spans="2:6" ht="20.25" x14ac:dyDescent="0.3">
      <c r="B2" s="4" t="s">
        <v>190</v>
      </c>
      <c r="C2" s="5"/>
      <c r="D2" s="5"/>
      <c r="E2" s="5"/>
      <c r="F2" s="5"/>
    </row>
    <row r="3" spans="2:6" x14ac:dyDescent="0.25">
      <c r="B3" s="6" t="s">
        <v>191</v>
      </c>
    </row>
    <row r="5" spans="2:6" ht="18" x14ac:dyDescent="0.25">
      <c r="B5" s="7" t="s">
        <v>192</v>
      </c>
    </row>
    <row r="7" spans="2:6" x14ac:dyDescent="0.25">
      <c r="B7" s="9" t="s">
        <v>193</v>
      </c>
      <c r="C7" s="17" t="s">
        <v>190</v>
      </c>
      <c r="E7" s="9" t="s">
        <v>200</v>
      </c>
      <c r="F7" s="21" t="s">
        <v>128</v>
      </c>
    </row>
    <row r="8" spans="2:6" x14ac:dyDescent="0.25">
      <c r="B8" s="9" t="s">
        <v>194</v>
      </c>
      <c r="C8" s="17" t="s">
        <v>195</v>
      </c>
      <c r="E8" s="9" t="s">
        <v>201</v>
      </c>
      <c r="F8" s="22">
        <v>46023</v>
      </c>
    </row>
    <row r="9" spans="2:6" x14ac:dyDescent="0.25">
      <c r="B9" s="9" t="s">
        <v>196</v>
      </c>
      <c r="C9" s="18">
        <v>563891563</v>
      </c>
      <c r="E9" s="9" t="s">
        <v>202</v>
      </c>
      <c r="F9" s="23" t="s">
        <v>192</v>
      </c>
    </row>
    <row r="10" spans="2:6" x14ac:dyDescent="0.25">
      <c r="B10" s="9" t="s">
        <v>197</v>
      </c>
      <c r="C10" s="19" t="s">
        <v>198</v>
      </c>
    </row>
    <row r="11" spans="2:6" x14ac:dyDescent="0.25">
      <c r="B11" s="24" t="s">
        <v>199</v>
      </c>
      <c r="C11" s="20">
        <v>310023456789101</v>
      </c>
    </row>
    <row r="13" spans="2:6" x14ac:dyDescent="0.25">
      <c r="B13" s="10" t="s">
        <v>203</v>
      </c>
      <c r="C13" s="11"/>
      <c r="D13" s="11"/>
      <c r="E13" s="11"/>
      <c r="F13" s="11"/>
    </row>
    <row r="14" spans="2:6" x14ac:dyDescent="0.25">
      <c r="B14" s="9" t="s">
        <v>204</v>
      </c>
      <c r="C14" s="8" t="s">
        <v>85</v>
      </c>
    </row>
    <row r="15" spans="2:6" x14ac:dyDescent="0.25">
      <c r="B15" s="9" t="s">
        <v>205</v>
      </c>
      <c r="C15" s="8" t="s">
        <v>84</v>
      </c>
    </row>
    <row r="16" spans="2:6" x14ac:dyDescent="0.25">
      <c r="B16" s="9" t="s">
        <v>194</v>
      </c>
      <c r="C16" s="8" t="s">
        <v>85</v>
      </c>
    </row>
    <row r="19" spans="2:6" x14ac:dyDescent="0.25">
      <c r="B19" s="12" t="s">
        <v>206</v>
      </c>
      <c r="C19" s="12" t="s">
        <v>207</v>
      </c>
      <c r="D19" s="12" t="s">
        <v>18</v>
      </c>
      <c r="E19" s="12" t="s">
        <v>208</v>
      </c>
      <c r="F19" s="13" t="s">
        <v>209</v>
      </c>
    </row>
    <row r="20" spans="2:6" x14ac:dyDescent="0.25">
      <c r="B20" s="14">
        <v>1</v>
      </c>
      <c r="C20" s="15" t="s">
        <v>59</v>
      </c>
      <c r="D20" s="14">
        <v>1</v>
      </c>
      <c r="E20" s="14">
        <v>2700</v>
      </c>
      <c r="F20" s="16">
        <f>D20*E20</f>
        <v>2700</v>
      </c>
    </row>
    <row r="21" spans="2:6" x14ac:dyDescent="0.25">
      <c r="B21" s="14"/>
      <c r="C21" s="15"/>
      <c r="D21" s="14"/>
      <c r="E21" s="14"/>
      <c r="F21" s="16"/>
    </row>
    <row r="22" spans="2:6" x14ac:dyDescent="0.25">
      <c r="B22" s="14"/>
      <c r="C22" s="15"/>
      <c r="D22" s="14"/>
      <c r="E22" s="14"/>
      <c r="F22" s="16"/>
    </row>
    <row r="23" spans="2:6" x14ac:dyDescent="0.25">
      <c r="B23" s="14"/>
      <c r="C23" s="15"/>
      <c r="D23" s="14"/>
      <c r="E23" s="14"/>
      <c r="F23" s="16"/>
    </row>
    <row r="24" spans="2:6" x14ac:dyDescent="0.25">
      <c r="B24" s="14"/>
      <c r="C24" s="15"/>
      <c r="D24" s="14"/>
      <c r="E24" s="14"/>
      <c r="F24" s="16"/>
    </row>
    <row r="25" spans="2:6" x14ac:dyDescent="0.25">
      <c r="B25" s="14"/>
      <c r="C25" s="15"/>
      <c r="D25" s="14"/>
      <c r="E25" s="14"/>
      <c r="F25" s="16"/>
    </row>
    <row r="26" spans="2:6" x14ac:dyDescent="0.25">
      <c r="B26" s="14"/>
      <c r="C26" s="15"/>
      <c r="D26" s="14"/>
      <c r="E26" s="14"/>
      <c r="F26" s="16"/>
    </row>
    <row r="27" spans="2:6" x14ac:dyDescent="0.25">
      <c r="B27" s="14"/>
      <c r="C27" s="15"/>
      <c r="D27" s="14"/>
      <c r="E27" s="14"/>
      <c r="F27" s="16"/>
    </row>
    <row r="29" spans="2:6" x14ac:dyDescent="0.25">
      <c r="E29" s="25" t="s">
        <v>210</v>
      </c>
      <c r="F29" s="16">
        <f>SUM(F20:F27)</f>
        <v>2700</v>
      </c>
    </row>
    <row r="30" spans="2:6" x14ac:dyDescent="0.25">
      <c r="E30" s="28" t="s">
        <v>211</v>
      </c>
      <c r="F30" s="29">
        <f>F29*0.15</f>
        <v>405</v>
      </c>
    </row>
    <row r="31" spans="2:6" x14ac:dyDescent="0.25">
      <c r="E31" s="26" t="s">
        <v>212</v>
      </c>
      <c r="F31" s="27">
        <f>F29+F30</f>
        <v>3105</v>
      </c>
    </row>
  </sheetData>
  <hyperlinks>
    <hyperlink ref="C10" r:id="rId1" xr:uid="{E1824586-F95F-4534-BAAF-A58275A4DF57}"/>
  </hyperlinks>
  <pageMargins left="0.5" right="0.5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Products_Master</vt:lpstr>
      <vt:lpstr>Customers</vt:lpstr>
      <vt:lpstr>Sales_Orders</vt:lpstr>
      <vt:lpstr>Invoices</vt:lpstr>
      <vt:lpstr>Invoice_Template</vt:lpstr>
      <vt:lpstr>Invoice_Template!Print_Area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 Ahmad</dc:creator>
  <cp:lastModifiedBy>Abdullah Ahmad</cp:lastModifiedBy>
  <cp:lastPrinted>2026-04-18T16:57:24Z</cp:lastPrinted>
  <dcterms:created xsi:type="dcterms:W3CDTF">2026-04-12T14:45:11Z</dcterms:created>
  <dcterms:modified xsi:type="dcterms:W3CDTF">2026-04-18T16:57:42Z</dcterms:modified>
</cp:coreProperties>
</file>